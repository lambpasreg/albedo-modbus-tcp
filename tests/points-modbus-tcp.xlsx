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15" documentId="11_9248CACD84F5E813E97046798E3E8C1851038385" xr6:coauthVersionLast="47" xr6:coauthVersionMax="47" xr10:uidLastSave="{EE8116FD-AF77-44BD-86B4-A172209999A6}"/>
  <bookViews>
    <workbookView xWindow="240" yWindow="105" windowWidth="14805" windowHeight="8010" activeTab="6" xr2:uid="{00000000-000D-0000-FFFF-FFFF00000000}"/>
  </bookViews>
  <sheets>
    <sheet name="MIcrogrid" sheetId="1" r:id="rId1"/>
    <sheet name="Main Breaker" sheetId="3" r:id="rId2"/>
    <sheet name="Bess Unit" sheetId="2" r:id="rId3"/>
    <sheet name="Branch Breaker" sheetId="4" r:id="rId4"/>
    <sheet name="Compteur Energie" sheetId="5" r:id="rId5"/>
    <sheet name="ATS" sheetId="6" r:id="rId6"/>
    <sheet name="ICC-ETH-1000" sheetId="8" r:id="rId7"/>
    <sheet name="Feuil1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7" l="1"/>
</calcChain>
</file>

<file path=xl/sharedStrings.xml><?xml version="1.0" encoding="utf-8"?>
<sst xmlns="http://schemas.openxmlformats.org/spreadsheetml/2006/main" count="269" uniqueCount="162">
  <si>
    <t>register</t>
  </si>
  <si>
    <t>Microgrid</t>
  </si>
  <si>
    <t>Consigne de délestage active / Lecture-Écriture</t>
  </si>
  <si>
    <t>Demande de délestage bâtiment</t>
  </si>
  <si>
    <t>Kw/instantané</t>
  </si>
  <si>
    <t>Kw/Moyens 15min</t>
  </si>
  <si>
    <t>Consomation électrique total Janvier</t>
  </si>
  <si>
    <t xml:space="preserve">Consomation électrique total Février </t>
  </si>
  <si>
    <t xml:space="preserve">Consomation électrique total Mars </t>
  </si>
  <si>
    <t xml:space="preserve">Consomation électrique total Avril </t>
  </si>
  <si>
    <t xml:space="preserve">Consomation électrique total Mai </t>
  </si>
  <si>
    <t xml:space="preserve">Consomation électrique total Juin </t>
  </si>
  <si>
    <t xml:space="preserve">Consomation électrique total Juillet </t>
  </si>
  <si>
    <t xml:space="preserve">Consomation électrique total Aout </t>
  </si>
  <si>
    <t xml:space="preserve">Consomation électrique total Septembre </t>
  </si>
  <si>
    <t xml:space="preserve">Consomation électrique total Octobr </t>
  </si>
  <si>
    <t xml:space="preserve">Consomation électrique total Novembre </t>
  </si>
  <si>
    <t>Consomation électrique total Décembre</t>
  </si>
  <si>
    <t>Demande GDP / Lecture-Écriture</t>
  </si>
  <si>
    <t>Etat Génératrice</t>
  </si>
  <si>
    <t>Main Breaker</t>
  </si>
  <si>
    <t>Tension phase à phase efficace VAB</t>
  </si>
  <si>
    <t>Tension phase à phase efficace VBC</t>
  </si>
  <si>
    <t>Tension phase à phase efficace VCA</t>
  </si>
  <si>
    <t>Tension phase à neutre efficace VAN</t>
  </si>
  <si>
    <t>Tension phase à neutre efficace VBN</t>
  </si>
  <si>
    <t>Tension phase à neutre efficace VCN</t>
  </si>
  <si>
    <t>Courant efficace sur la phase A</t>
  </si>
  <si>
    <t>Courant efficace sur la phase B</t>
  </si>
  <si>
    <t>Courant efficace sur la phase C</t>
  </si>
  <si>
    <t>Puissance active sur la phase A</t>
  </si>
  <si>
    <t>Puissance active sur la phase B</t>
  </si>
  <si>
    <t>Puissance active sur la phase C</t>
  </si>
  <si>
    <t>Puissance active totale</t>
  </si>
  <si>
    <t>Energie active totale</t>
  </si>
  <si>
    <t>État disjoncteur Contact de signalisation d'état OF</t>
  </si>
  <si>
    <t>Fréquence</t>
  </si>
  <si>
    <t>BESS unit</t>
  </si>
  <si>
    <t>BAMS SOC</t>
  </si>
  <si>
    <t>BAMS SOH</t>
  </si>
  <si>
    <t>BAMS Power</t>
  </si>
  <si>
    <t>BAMS Voltage</t>
  </si>
  <si>
    <t>BAMS Current</t>
  </si>
  <si>
    <t>BAMS Contactor control</t>
  </si>
  <si>
    <t>AC~Group: On/Off status</t>
  </si>
  <si>
    <t>AC~Group: Startup status</t>
  </si>
  <si>
    <t>Grid interconnection mode</t>
  </si>
  <si>
    <t>Energy Dispatching mode</t>
  </si>
  <si>
    <t>PF setpoint</t>
  </si>
  <si>
    <t>Active Power control Mode</t>
  </si>
  <si>
    <t>Active Power Setpoint</t>
  </si>
  <si>
    <t>Reactive Power Setpoint</t>
  </si>
  <si>
    <t>Maximum Charge Current</t>
  </si>
  <si>
    <t>Maximum Discharge current</t>
  </si>
  <si>
    <t>DC auxiliary relay</t>
  </si>
  <si>
    <t>System sub control (DC)</t>
  </si>
  <si>
    <t>System sub control (AC)</t>
  </si>
  <si>
    <t>Ambient Temperature Fault</t>
  </si>
  <si>
    <t>Ambient Humidity Fault</t>
  </si>
  <si>
    <t>DC output voltage</t>
  </si>
  <si>
    <t>DC Maximum output Voltage</t>
  </si>
  <si>
    <t>DC Control Mode</t>
  </si>
  <si>
    <t>DC current set point</t>
  </si>
  <si>
    <t>DC power set point</t>
  </si>
  <si>
    <t>Branch Breaker</t>
  </si>
  <si>
    <t>4B1 Type E</t>
  </si>
  <si>
    <t>2B1 Type E</t>
  </si>
  <si>
    <t>2B2 Type E</t>
  </si>
  <si>
    <t>2B3 Type E</t>
  </si>
  <si>
    <t>2B4 Type E</t>
  </si>
  <si>
    <t>2B5 Type E</t>
  </si>
  <si>
    <t>2B6 Type E</t>
  </si>
  <si>
    <t>2B7 Type E</t>
  </si>
  <si>
    <t>2B8 Type E</t>
  </si>
  <si>
    <t>2B9 Type E</t>
  </si>
  <si>
    <t>2B10 Type E</t>
  </si>
  <si>
    <t>2B11 Type E</t>
  </si>
  <si>
    <t>2B12 Type E</t>
  </si>
  <si>
    <t>2B13 Type E</t>
  </si>
  <si>
    <t>Compteur energie CPE</t>
  </si>
  <si>
    <t>2B6 PE-2/PE-3</t>
  </si>
  <si>
    <t>Input Metering - Channel 1 - Accumulated Value</t>
  </si>
  <si>
    <t>Input Metering - Channel 1 - Date / Time of Last Reset</t>
  </si>
  <si>
    <t>Input Metering - Channel 1 - Units Code</t>
  </si>
  <si>
    <t>Reset Channel 1 si possible / Lecture-Écriture</t>
  </si>
  <si>
    <t>2B11 PP-3</t>
  </si>
  <si>
    <t>2B12 PS-CC</t>
  </si>
  <si>
    <t xml:space="preserve">ATS ASCO </t>
  </si>
  <si>
    <t>Phase A line to neutral voltage</t>
  </si>
  <si>
    <t>Phase B line to neutral voltage</t>
  </si>
  <si>
    <t>Phase C line to neutral voltage</t>
  </si>
  <si>
    <t>Line to neutral average voltage</t>
  </si>
  <si>
    <t>A-B line to line voltage</t>
  </si>
  <si>
    <t>B-C line to line voltage</t>
  </si>
  <si>
    <t>C-A line to line voltage</t>
  </si>
  <si>
    <t>Line to line average voltage</t>
  </si>
  <si>
    <t>Phase A current</t>
  </si>
  <si>
    <t>Phase B current</t>
  </si>
  <si>
    <t>Phase C current</t>
  </si>
  <si>
    <t>Average current</t>
  </si>
  <si>
    <t>Active Power phase A</t>
  </si>
  <si>
    <t>Active Power phase B</t>
  </si>
  <si>
    <t>Active Power phase C</t>
  </si>
  <si>
    <t>Active Power total</t>
  </si>
  <si>
    <t>Frequency on phase VA</t>
  </si>
  <si>
    <t>Main on Normal</t>
  </si>
  <si>
    <t>Main on Emergency</t>
  </si>
  <si>
    <t>modbus TCP register</t>
  </si>
  <si>
    <t>register number</t>
  </si>
  <si>
    <t>Database Addr</t>
  </si>
  <si>
    <t>BACnet ms/tp Object</t>
  </si>
  <si>
    <t>AV1001</t>
  </si>
  <si>
    <t>AV1002</t>
  </si>
  <si>
    <t>AV1003</t>
  </si>
  <si>
    <t>AV1004</t>
  </si>
  <si>
    <t>AV1005</t>
  </si>
  <si>
    <t>AV1006</t>
  </si>
  <si>
    <t>AV1007</t>
  </si>
  <si>
    <t>AV1008</t>
  </si>
  <si>
    <t>AV1009</t>
  </si>
  <si>
    <t>AV1010</t>
  </si>
  <si>
    <t>AV1011</t>
  </si>
  <si>
    <t>AV1012</t>
  </si>
  <si>
    <t>AV1013</t>
  </si>
  <si>
    <t>Consomation électrique total Octobre</t>
  </si>
  <si>
    <t>AV1014</t>
  </si>
  <si>
    <t>AV1015</t>
  </si>
  <si>
    <t>AV1016</t>
  </si>
  <si>
    <t>AV1017</t>
  </si>
  <si>
    <t>AV1018</t>
  </si>
  <si>
    <t>5B1 Tension phase à phase efficace VAB</t>
  </si>
  <si>
    <t>AV2001</t>
  </si>
  <si>
    <t>5B1 Tension phase à phase efficace VBC</t>
  </si>
  <si>
    <t>AV2002</t>
  </si>
  <si>
    <t>5B1 Tension phase à phase efficace VCA</t>
  </si>
  <si>
    <t>AV2003</t>
  </si>
  <si>
    <t>5B1 Tension phase à neutre efficace VAN</t>
  </si>
  <si>
    <t>AV2004</t>
  </si>
  <si>
    <t>5B1 Tension phase à neutre efficace VBN</t>
  </si>
  <si>
    <t>AV2005</t>
  </si>
  <si>
    <t>5B1 Tension phase à neutre efficace VCN</t>
  </si>
  <si>
    <t>AV2006</t>
  </si>
  <si>
    <t>5B1 Courant efficace sur la phase A</t>
  </si>
  <si>
    <t>AV2007</t>
  </si>
  <si>
    <t>5B1 Courant efficace sur la phase B</t>
  </si>
  <si>
    <t>AV2008</t>
  </si>
  <si>
    <t>5B1 Courant efficace sur la phase C</t>
  </si>
  <si>
    <t>AV2009</t>
  </si>
  <si>
    <t>5B1 Puissance active sur la phase A</t>
  </si>
  <si>
    <t>AV2010</t>
  </si>
  <si>
    <t>5B1 Puissance active sur la phase B</t>
  </si>
  <si>
    <t>AV2011</t>
  </si>
  <si>
    <t>5B1 Puissance active sur la phase C</t>
  </si>
  <si>
    <t>AV2012</t>
  </si>
  <si>
    <t>5B1 Puissance active totale</t>
  </si>
  <si>
    <t>AV2013</t>
  </si>
  <si>
    <t>5B1 Energie active totale</t>
  </si>
  <si>
    <t>AV2014</t>
  </si>
  <si>
    <t>5B1 État disjoncteur Contact de signalisation d'état OF</t>
  </si>
  <si>
    <t>AV2015</t>
  </si>
  <si>
    <t>5B1 Fréquence</t>
  </si>
  <si>
    <t>AV2016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</si>
</sst>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2" sqref="B2:B19"/>
    </sheetView>
  </sheetViews>
  <sheetFormatPr defaultRowHeight="15"/>
  <cols>
    <col min="2" max="2" width="42.5703125" customWidth="1"/>
  </cols>
  <sheetData>
    <row r="1" spans="1:2">
      <c r="A1" t="s">
        <v>0</v>
      </c>
      <c r="B1" s="1" t="s">
        <v>1</v>
      </c>
    </row>
    <row r="2" spans="1:2">
      <c r="B2" t="s">
        <v>2</v>
      </c>
    </row>
    <row r="3" spans="1:2">
      <c r="B3" t="s">
        <v>3</v>
      </c>
    </row>
    <row r="4" spans="1:2">
      <c r="B4" t="s">
        <v>4</v>
      </c>
    </row>
    <row r="5" spans="1:2">
      <c r="B5" t="s">
        <v>5</v>
      </c>
    </row>
    <row r="6" spans="1:2">
      <c r="B6" t="s">
        <v>6</v>
      </c>
    </row>
    <row r="7" spans="1:2">
      <c r="B7" t="s">
        <v>7</v>
      </c>
    </row>
    <row r="8" spans="1:2">
      <c r="B8" t="s">
        <v>8</v>
      </c>
    </row>
    <row r="9" spans="1:2">
      <c r="B9" t="s">
        <v>9</v>
      </c>
    </row>
    <row r="10" spans="1:2">
      <c r="B10" t="s">
        <v>10</v>
      </c>
    </row>
    <row r="11" spans="1:2">
      <c r="B11" t="s">
        <v>11</v>
      </c>
    </row>
    <row r="12" spans="1:2">
      <c r="B12" t="s">
        <v>12</v>
      </c>
    </row>
    <row r="13" spans="1:2">
      <c r="B13" t="s">
        <v>13</v>
      </c>
    </row>
    <row r="14" spans="1:2">
      <c r="B14" t="s">
        <v>14</v>
      </c>
    </row>
    <row r="15" spans="1:2">
      <c r="B15" t="s">
        <v>15</v>
      </c>
    </row>
    <row r="16" spans="1:2">
      <c r="B16" t="s">
        <v>16</v>
      </c>
    </row>
    <row r="17" spans="2:2">
      <c r="B17" t="s">
        <v>17</v>
      </c>
    </row>
    <row r="18" spans="2:2">
      <c r="B18" t="s">
        <v>18</v>
      </c>
    </row>
    <row r="19" spans="2:2">
      <c r="B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4568-8F09-4E33-8831-A7399D882BFC}">
  <dimension ref="A1:B17"/>
  <sheetViews>
    <sheetView workbookViewId="0">
      <selection activeCell="B1" sqref="B1"/>
    </sheetView>
  </sheetViews>
  <sheetFormatPr defaultRowHeight="15"/>
  <cols>
    <col min="2" max="2" width="45.5703125" bestFit="1" customWidth="1"/>
  </cols>
  <sheetData>
    <row r="1" spans="1:2">
      <c r="A1" t="s">
        <v>0</v>
      </c>
      <c r="B1" s="1" t="s">
        <v>20</v>
      </c>
    </row>
    <row r="2" spans="1:2">
      <c r="B2" t="s">
        <v>21</v>
      </c>
    </row>
    <row r="3" spans="1:2">
      <c r="B3" t="s">
        <v>22</v>
      </c>
    </row>
    <row r="4" spans="1:2">
      <c r="B4" t="s">
        <v>23</v>
      </c>
    </row>
    <row r="5" spans="1:2">
      <c r="B5" t="s">
        <v>24</v>
      </c>
    </row>
    <row r="6" spans="1:2">
      <c r="B6" t="s">
        <v>25</v>
      </c>
    </row>
    <row r="7" spans="1:2">
      <c r="B7" t="s">
        <v>26</v>
      </c>
    </row>
    <row r="8" spans="1:2">
      <c r="B8" t="s">
        <v>27</v>
      </c>
    </row>
    <row r="9" spans="1:2">
      <c r="B9" t="s">
        <v>28</v>
      </c>
    </row>
    <row r="10" spans="1:2">
      <c r="B10" t="s">
        <v>29</v>
      </c>
    </row>
    <row r="11" spans="1:2">
      <c r="B11" t="s">
        <v>30</v>
      </c>
    </row>
    <row r="12" spans="1:2">
      <c r="B12" t="s">
        <v>31</v>
      </c>
    </row>
    <row r="13" spans="1:2">
      <c r="B13" t="s">
        <v>32</v>
      </c>
    </row>
    <row r="14" spans="1:2">
      <c r="B14" t="s">
        <v>33</v>
      </c>
    </row>
    <row r="15" spans="1:2">
      <c r="B15" t="s">
        <v>34</v>
      </c>
    </row>
    <row r="16" spans="1:2">
      <c r="B16" t="s">
        <v>35</v>
      </c>
    </row>
    <row r="17" spans="2:2">
      <c r="B1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BBDB-5A68-4431-9978-15ED2B807CC8}">
  <dimension ref="A1:B27"/>
  <sheetViews>
    <sheetView topLeftCell="A28" workbookViewId="0">
      <selection activeCell="E11" sqref="E11"/>
    </sheetView>
  </sheetViews>
  <sheetFormatPr defaultRowHeight="15"/>
  <cols>
    <col min="2" max="2" width="30" customWidth="1"/>
  </cols>
  <sheetData>
    <row r="1" spans="1:2">
      <c r="A1" t="s">
        <v>0</v>
      </c>
      <c r="B1" s="1" t="s">
        <v>37</v>
      </c>
    </row>
    <row r="2" spans="1:2">
      <c r="B2" t="s">
        <v>38</v>
      </c>
    </row>
    <row r="3" spans="1:2">
      <c r="B3" t="s">
        <v>39</v>
      </c>
    </row>
    <row r="4" spans="1:2">
      <c r="B4" t="s">
        <v>40</v>
      </c>
    </row>
    <row r="5" spans="1:2">
      <c r="B5" t="s">
        <v>41</v>
      </c>
    </row>
    <row r="6" spans="1:2">
      <c r="B6" t="s">
        <v>42</v>
      </c>
    </row>
    <row r="7" spans="1:2">
      <c r="B7" t="s">
        <v>43</v>
      </c>
    </row>
    <row r="8" spans="1:2">
      <c r="B8" t="s">
        <v>44</v>
      </c>
    </row>
    <row r="9" spans="1:2">
      <c r="B9" t="s">
        <v>45</v>
      </c>
    </row>
    <row r="10" spans="1:2">
      <c r="B10" t="s">
        <v>46</v>
      </c>
    </row>
    <row r="11" spans="1:2">
      <c r="B11" t="s">
        <v>47</v>
      </c>
    </row>
    <row r="12" spans="1:2">
      <c r="B12" t="s">
        <v>48</v>
      </c>
    </row>
    <row r="13" spans="1:2">
      <c r="B13" t="s">
        <v>49</v>
      </c>
    </row>
    <row r="14" spans="1:2">
      <c r="B14" t="s">
        <v>50</v>
      </c>
    </row>
    <row r="15" spans="1:2">
      <c r="B15" t="s">
        <v>51</v>
      </c>
    </row>
    <row r="16" spans="1:2">
      <c r="B16" t="s">
        <v>52</v>
      </c>
    </row>
    <row r="17" spans="2:2">
      <c r="B17" t="s">
        <v>53</v>
      </c>
    </row>
    <row r="18" spans="2:2">
      <c r="B18" t="s">
        <v>54</v>
      </c>
    </row>
    <row r="19" spans="2:2">
      <c r="B19" t="s">
        <v>55</v>
      </c>
    </row>
    <row r="20" spans="2:2">
      <c r="B20" t="s">
        <v>56</v>
      </c>
    </row>
    <row r="21" spans="2:2">
      <c r="B21" t="s">
        <v>57</v>
      </c>
    </row>
    <row r="22" spans="2:2">
      <c r="B22" t="s">
        <v>58</v>
      </c>
    </row>
    <row r="23" spans="2:2">
      <c r="B23" t="s">
        <v>59</v>
      </c>
    </row>
    <row r="24" spans="2:2">
      <c r="B24" t="s">
        <v>60</v>
      </c>
    </row>
    <row r="25" spans="2:2">
      <c r="B25" t="s">
        <v>61</v>
      </c>
    </row>
    <row r="26" spans="2:2">
      <c r="B26" t="s">
        <v>62</v>
      </c>
    </row>
    <row r="27" spans="2:2">
      <c r="B2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1D79-AD13-4E1B-94FE-00D0A25C7BF3}">
  <dimension ref="A1:C43"/>
  <sheetViews>
    <sheetView topLeftCell="A23" workbookViewId="0">
      <selection activeCell="C2" sqref="C2:C43"/>
    </sheetView>
  </sheetViews>
  <sheetFormatPr defaultRowHeight="15"/>
  <cols>
    <col min="1" max="1" width="10" customWidth="1"/>
    <col min="2" max="2" width="12.140625" customWidth="1"/>
    <col min="3" max="3" width="45.5703125" bestFit="1" customWidth="1"/>
  </cols>
  <sheetData>
    <row r="1" spans="1:3">
      <c r="A1" t="s">
        <v>0</v>
      </c>
      <c r="B1" s="5" t="s">
        <v>64</v>
      </c>
      <c r="C1" s="5"/>
    </row>
    <row r="2" spans="1:3">
      <c r="B2" s="1" t="s">
        <v>65</v>
      </c>
      <c r="C2" t="s">
        <v>33</v>
      </c>
    </row>
    <row r="3" spans="1:3">
      <c r="B3" s="1" t="s">
        <v>65</v>
      </c>
      <c r="C3" t="s">
        <v>34</v>
      </c>
    </row>
    <row r="4" spans="1:3">
      <c r="A4" s="2"/>
      <c r="B4" s="3" t="s">
        <v>65</v>
      </c>
      <c r="C4" s="2" t="s">
        <v>35</v>
      </c>
    </row>
    <row r="5" spans="1:3">
      <c r="B5" s="1" t="s">
        <v>66</v>
      </c>
      <c r="C5" t="s">
        <v>33</v>
      </c>
    </row>
    <row r="6" spans="1:3">
      <c r="B6" s="1" t="s">
        <v>66</v>
      </c>
      <c r="C6" t="s">
        <v>34</v>
      </c>
    </row>
    <row r="7" spans="1:3">
      <c r="A7" s="2"/>
      <c r="B7" s="3" t="s">
        <v>66</v>
      </c>
      <c r="C7" s="2" t="s">
        <v>35</v>
      </c>
    </row>
    <row r="8" spans="1:3">
      <c r="B8" s="1" t="s">
        <v>67</v>
      </c>
      <c r="C8" t="s">
        <v>33</v>
      </c>
    </row>
    <row r="9" spans="1:3">
      <c r="B9" s="1" t="s">
        <v>67</v>
      </c>
      <c r="C9" t="s">
        <v>34</v>
      </c>
    </row>
    <row r="10" spans="1:3">
      <c r="A10" s="2"/>
      <c r="B10" s="3" t="s">
        <v>67</v>
      </c>
      <c r="C10" s="2" t="s">
        <v>35</v>
      </c>
    </row>
    <row r="11" spans="1:3">
      <c r="B11" s="1" t="s">
        <v>68</v>
      </c>
      <c r="C11" t="s">
        <v>33</v>
      </c>
    </row>
    <row r="12" spans="1:3">
      <c r="B12" s="1" t="s">
        <v>68</v>
      </c>
      <c r="C12" t="s">
        <v>34</v>
      </c>
    </row>
    <row r="13" spans="1:3">
      <c r="A13" s="2"/>
      <c r="B13" s="3" t="s">
        <v>68</v>
      </c>
      <c r="C13" s="2" t="s">
        <v>35</v>
      </c>
    </row>
    <row r="14" spans="1:3">
      <c r="B14" s="1" t="s">
        <v>69</v>
      </c>
      <c r="C14" t="s">
        <v>33</v>
      </c>
    </row>
    <row r="15" spans="1:3">
      <c r="B15" s="1" t="s">
        <v>69</v>
      </c>
      <c r="C15" t="s">
        <v>34</v>
      </c>
    </row>
    <row r="16" spans="1:3">
      <c r="A16" s="2"/>
      <c r="B16" s="3" t="s">
        <v>69</v>
      </c>
      <c r="C16" s="2" t="s">
        <v>35</v>
      </c>
    </row>
    <row r="17" spans="1:3">
      <c r="B17" s="1" t="s">
        <v>70</v>
      </c>
      <c r="C17" t="s">
        <v>33</v>
      </c>
    </row>
    <row r="18" spans="1:3">
      <c r="B18" s="1" t="s">
        <v>70</v>
      </c>
      <c r="C18" t="s">
        <v>34</v>
      </c>
    </row>
    <row r="19" spans="1:3">
      <c r="A19" s="2"/>
      <c r="B19" s="3" t="s">
        <v>70</v>
      </c>
      <c r="C19" s="2" t="s">
        <v>35</v>
      </c>
    </row>
    <row r="20" spans="1:3">
      <c r="B20" s="1" t="s">
        <v>71</v>
      </c>
      <c r="C20" t="s">
        <v>33</v>
      </c>
    </row>
    <row r="21" spans="1:3">
      <c r="B21" s="1" t="s">
        <v>71</v>
      </c>
      <c r="C21" t="s">
        <v>34</v>
      </c>
    </row>
    <row r="22" spans="1:3">
      <c r="A22" s="2"/>
      <c r="B22" s="3" t="s">
        <v>71</v>
      </c>
      <c r="C22" s="2" t="s">
        <v>35</v>
      </c>
    </row>
    <row r="23" spans="1:3">
      <c r="B23" s="1" t="s">
        <v>72</v>
      </c>
      <c r="C23" t="s">
        <v>33</v>
      </c>
    </row>
    <row r="24" spans="1:3">
      <c r="B24" s="1" t="s">
        <v>72</v>
      </c>
      <c r="C24" t="s">
        <v>34</v>
      </c>
    </row>
    <row r="25" spans="1:3">
      <c r="A25" s="2"/>
      <c r="B25" s="3" t="s">
        <v>72</v>
      </c>
      <c r="C25" s="2" t="s">
        <v>35</v>
      </c>
    </row>
    <row r="26" spans="1:3">
      <c r="B26" s="1" t="s">
        <v>73</v>
      </c>
      <c r="C26" t="s">
        <v>33</v>
      </c>
    </row>
    <row r="27" spans="1:3">
      <c r="B27" s="1" t="s">
        <v>73</v>
      </c>
      <c r="C27" t="s">
        <v>34</v>
      </c>
    </row>
    <row r="28" spans="1:3">
      <c r="A28" s="2"/>
      <c r="B28" s="3" t="s">
        <v>73</v>
      </c>
      <c r="C28" s="2" t="s">
        <v>35</v>
      </c>
    </row>
    <row r="29" spans="1:3">
      <c r="B29" s="1" t="s">
        <v>74</v>
      </c>
      <c r="C29" t="s">
        <v>33</v>
      </c>
    </row>
    <row r="30" spans="1:3">
      <c r="B30" s="1" t="s">
        <v>74</v>
      </c>
      <c r="C30" t="s">
        <v>34</v>
      </c>
    </row>
    <row r="31" spans="1:3">
      <c r="A31" s="2"/>
      <c r="B31" s="3" t="s">
        <v>74</v>
      </c>
      <c r="C31" s="2" t="s">
        <v>35</v>
      </c>
    </row>
    <row r="32" spans="1:3">
      <c r="B32" s="1" t="s">
        <v>75</v>
      </c>
      <c r="C32" t="s">
        <v>33</v>
      </c>
    </row>
    <row r="33" spans="1:3">
      <c r="B33" s="1" t="s">
        <v>75</v>
      </c>
      <c r="C33" t="s">
        <v>34</v>
      </c>
    </row>
    <row r="34" spans="1:3">
      <c r="A34" s="2"/>
      <c r="B34" s="3" t="s">
        <v>75</v>
      </c>
      <c r="C34" s="2" t="s">
        <v>35</v>
      </c>
    </row>
    <row r="35" spans="1:3">
      <c r="B35" s="1" t="s">
        <v>76</v>
      </c>
      <c r="C35" t="s">
        <v>33</v>
      </c>
    </row>
    <row r="36" spans="1:3">
      <c r="B36" s="1" t="s">
        <v>76</v>
      </c>
      <c r="C36" t="s">
        <v>34</v>
      </c>
    </row>
    <row r="37" spans="1:3">
      <c r="A37" s="2"/>
      <c r="B37" s="3" t="s">
        <v>76</v>
      </c>
      <c r="C37" s="2" t="s">
        <v>35</v>
      </c>
    </row>
    <row r="38" spans="1:3">
      <c r="B38" s="1" t="s">
        <v>77</v>
      </c>
      <c r="C38" t="s">
        <v>33</v>
      </c>
    </row>
    <row r="39" spans="1:3">
      <c r="B39" s="1" t="s">
        <v>77</v>
      </c>
      <c r="C39" t="s">
        <v>34</v>
      </c>
    </row>
    <row r="40" spans="1:3">
      <c r="A40" s="2"/>
      <c r="B40" s="3" t="s">
        <v>77</v>
      </c>
      <c r="C40" s="2" t="s">
        <v>35</v>
      </c>
    </row>
    <row r="41" spans="1:3">
      <c r="B41" s="1" t="s">
        <v>78</v>
      </c>
      <c r="C41" t="s">
        <v>33</v>
      </c>
    </row>
    <row r="42" spans="1:3">
      <c r="B42" s="1" t="s">
        <v>78</v>
      </c>
      <c r="C42" t="s">
        <v>34</v>
      </c>
    </row>
    <row r="43" spans="1:3">
      <c r="A43" s="2"/>
      <c r="B43" s="3" t="s">
        <v>78</v>
      </c>
      <c r="C43" s="2" t="s">
        <v>35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8D36-1D61-4FB5-8513-7674E2DD58BF}">
  <dimension ref="A1:C13"/>
  <sheetViews>
    <sheetView workbookViewId="0">
      <selection activeCell="C2" sqref="C2:C13"/>
    </sheetView>
  </sheetViews>
  <sheetFormatPr defaultRowHeight="15"/>
  <cols>
    <col min="2" max="2" width="13.7109375" bestFit="1" customWidth="1"/>
    <col min="3" max="3" width="49.28515625" bestFit="1" customWidth="1"/>
  </cols>
  <sheetData>
    <row r="1" spans="1:3">
      <c r="C1" s="1" t="s">
        <v>79</v>
      </c>
    </row>
    <row r="2" spans="1:3">
      <c r="B2" s="1" t="s">
        <v>80</v>
      </c>
      <c r="C2" t="s">
        <v>81</v>
      </c>
    </row>
    <row r="3" spans="1:3">
      <c r="B3" s="1" t="s">
        <v>80</v>
      </c>
      <c r="C3" t="s">
        <v>82</v>
      </c>
    </row>
    <row r="4" spans="1:3">
      <c r="B4" s="1" t="s">
        <v>80</v>
      </c>
      <c r="C4" t="s">
        <v>83</v>
      </c>
    </row>
    <row r="5" spans="1:3">
      <c r="A5" s="2"/>
      <c r="B5" s="3" t="s">
        <v>80</v>
      </c>
      <c r="C5" s="2" t="s">
        <v>84</v>
      </c>
    </row>
    <row r="6" spans="1:3">
      <c r="B6" s="1" t="s">
        <v>85</v>
      </c>
      <c r="C6" t="s">
        <v>81</v>
      </c>
    </row>
    <row r="7" spans="1:3">
      <c r="B7" s="1" t="s">
        <v>85</v>
      </c>
      <c r="C7" t="s">
        <v>82</v>
      </c>
    </row>
    <row r="8" spans="1:3">
      <c r="B8" s="1" t="s">
        <v>85</v>
      </c>
      <c r="C8" t="s">
        <v>83</v>
      </c>
    </row>
    <row r="9" spans="1:3">
      <c r="A9" s="2"/>
      <c r="B9" s="3" t="s">
        <v>85</v>
      </c>
      <c r="C9" s="2" t="s">
        <v>84</v>
      </c>
    </row>
    <row r="10" spans="1:3">
      <c r="B10" s="1" t="s">
        <v>86</v>
      </c>
      <c r="C10" t="s">
        <v>81</v>
      </c>
    </row>
    <row r="11" spans="1:3">
      <c r="B11" s="1" t="s">
        <v>86</v>
      </c>
      <c r="C11" t="s">
        <v>82</v>
      </c>
    </row>
    <row r="12" spans="1:3">
      <c r="B12" s="1" t="s">
        <v>86</v>
      </c>
      <c r="C12" t="s">
        <v>83</v>
      </c>
    </row>
    <row r="13" spans="1:3">
      <c r="B13" s="1" t="s">
        <v>86</v>
      </c>
      <c r="C13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C6DE-A2DB-45BB-A204-B56E4DD35CF0}">
  <dimension ref="B1:B20"/>
  <sheetViews>
    <sheetView workbookViewId="0">
      <selection activeCell="B2" sqref="B2:B20"/>
    </sheetView>
  </sheetViews>
  <sheetFormatPr defaultRowHeight="15"/>
  <cols>
    <col min="2" max="2" width="34.5703125" customWidth="1"/>
  </cols>
  <sheetData>
    <row r="1" spans="2:2">
      <c r="B1" s="1" t="s">
        <v>87</v>
      </c>
    </row>
    <row r="2" spans="2:2">
      <c r="B2" t="s">
        <v>88</v>
      </c>
    </row>
    <row r="3" spans="2:2">
      <c r="B3" t="s">
        <v>89</v>
      </c>
    </row>
    <row r="4" spans="2:2">
      <c r="B4" t="s">
        <v>90</v>
      </c>
    </row>
    <row r="5" spans="2:2">
      <c r="B5" t="s">
        <v>91</v>
      </c>
    </row>
    <row r="6" spans="2:2">
      <c r="B6" t="s">
        <v>92</v>
      </c>
    </row>
    <row r="7" spans="2:2">
      <c r="B7" t="s">
        <v>93</v>
      </c>
    </row>
    <row r="8" spans="2:2">
      <c r="B8" t="s">
        <v>94</v>
      </c>
    </row>
    <row r="9" spans="2:2">
      <c r="B9" t="s">
        <v>95</v>
      </c>
    </row>
    <row r="10" spans="2:2">
      <c r="B10" t="s">
        <v>96</v>
      </c>
    </row>
    <row r="11" spans="2:2">
      <c r="B11" t="s">
        <v>97</v>
      </c>
    </row>
    <row r="12" spans="2:2">
      <c r="B12" t="s">
        <v>98</v>
      </c>
    </row>
    <row r="13" spans="2:2">
      <c r="B13" t="s">
        <v>99</v>
      </c>
    </row>
    <row r="14" spans="2:2">
      <c r="B14" t="s">
        <v>100</v>
      </c>
    </row>
    <row r="15" spans="2:2">
      <c r="B15" t="s">
        <v>101</v>
      </c>
    </row>
    <row r="16" spans="2:2">
      <c r="B16" t="s">
        <v>102</v>
      </c>
    </row>
    <row r="17" spans="2:2">
      <c r="B17" t="s">
        <v>103</v>
      </c>
    </row>
    <row r="18" spans="2:2">
      <c r="B18" t="s">
        <v>104</v>
      </c>
    </row>
    <row r="19" spans="2:2">
      <c r="B19" t="s">
        <v>105</v>
      </c>
    </row>
    <row r="20" spans="2:2">
      <c r="B20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2FF2-198A-4E68-A8EB-5DA2C2AB6418}">
  <dimension ref="A1:D35"/>
  <sheetViews>
    <sheetView tabSelected="1" workbookViewId="0">
      <selection activeCell="D14" sqref="D14"/>
    </sheetView>
  </sheetViews>
  <sheetFormatPr defaultRowHeight="15"/>
  <cols>
    <col min="1" max="1" width="49.5703125" bestFit="1" customWidth="1"/>
    <col min="2" max="2" width="17.28515625" customWidth="1"/>
    <col min="3" max="3" width="14.42578125" customWidth="1"/>
    <col min="4" max="4" width="21.85546875" style="4" customWidth="1"/>
  </cols>
  <sheetData>
    <row r="1" spans="1:4">
      <c r="A1" s="1" t="s">
        <v>107</v>
      </c>
      <c r="B1" s="1" t="s">
        <v>108</v>
      </c>
      <c r="C1" s="1" t="s">
        <v>109</v>
      </c>
      <c r="D1" s="6" t="s">
        <v>110</v>
      </c>
    </row>
    <row r="2" spans="1:4">
      <c r="A2" t="s">
        <v>2</v>
      </c>
      <c r="B2">
        <v>1</v>
      </c>
      <c r="C2">
        <v>0</v>
      </c>
      <c r="D2" s="4" t="s">
        <v>111</v>
      </c>
    </row>
    <row r="3" spans="1:4">
      <c r="A3" t="s">
        <v>3</v>
      </c>
      <c r="B3">
        <v>2</v>
      </c>
      <c r="C3">
        <v>2</v>
      </c>
      <c r="D3" s="4" t="s">
        <v>112</v>
      </c>
    </row>
    <row r="4" spans="1:4">
      <c r="A4" t="s">
        <v>4</v>
      </c>
      <c r="B4">
        <v>3</v>
      </c>
      <c r="C4">
        <v>4</v>
      </c>
      <c r="D4" s="4" t="s">
        <v>113</v>
      </c>
    </row>
    <row r="5" spans="1:4">
      <c r="A5" t="s">
        <v>5</v>
      </c>
      <c r="B5">
        <v>4</v>
      </c>
      <c r="C5">
        <v>6</v>
      </c>
      <c r="D5" s="4" t="s">
        <v>114</v>
      </c>
    </row>
    <row r="6" spans="1:4">
      <c r="A6" t="s">
        <v>6</v>
      </c>
      <c r="B6">
        <v>5</v>
      </c>
      <c r="C6">
        <v>8</v>
      </c>
      <c r="D6" s="4" t="s">
        <v>115</v>
      </c>
    </row>
    <row r="7" spans="1:4">
      <c r="A7" t="s">
        <v>7</v>
      </c>
      <c r="B7">
        <v>6</v>
      </c>
      <c r="C7">
        <v>10</v>
      </c>
      <c r="D7" s="4" t="s">
        <v>116</v>
      </c>
    </row>
    <row r="8" spans="1:4">
      <c r="A8" t="s">
        <v>8</v>
      </c>
      <c r="B8">
        <v>7</v>
      </c>
      <c r="C8">
        <v>12</v>
      </c>
      <c r="D8" s="4" t="s">
        <v>117</v>
      </c>
    </row>
    <row r="9" spans="1:4">
      <c r="A9" t="s">
        <v>9</v>
      </c>
      <c r="B9">
        <v>8</v>
      </c>
      <c r="C9">
        <v>14</v>
      </c>
      <c r="D9" s="4" t="s">
        <v>118</v>
      </c>
    </row>
    <row r="10" spans="1:4">
      <c r="A10" t="s">
        <v>10</v>
      </c>
      <c r="B10">
        <v>9</v>
      </c>
      <c r="C10">
        <v>16</v>
      </c>
      <c r="D10" s="4" t="s">
        <v>119</v>
      </c>
    </row>
    <row r="11" spans="1:4">
      <c r="A11" t="s">
        <v>11</v>
      </c>
      <c r="B11">
        <v>10</v>
      </c>
      <c r="C11">
        <v>18</v>
      </c>
      <c r="D11" s="4" t="s">
        <v>120</v>
      </c>
    </row>
    <row r="12" spans="1:4">
      <c r="A12" t="s">
        <v>12</v>
      </c>
      <c r="B12">
        <v>11</v>
      </c>
      <c r="C12">
        <v>20</v>
      </c>
      <c r="D12" s="4" t="s">
        <v>121</v>
      </c>
    </row>
    <row r="13" spans="1:4">
      <c r="A13" t="s">
        <v>13</v>
      </c>
      <c r="B13">
        <v>12</v>
      </c>
      <c r="C13">
        <v>22</v>
      </c>
      <c r="D13" s="4" t="s">
        <v>122</v>
      </c>
    </row>
    <row r="14" spans="1:4">
      <c r="A14" t="s">
        <v>14</v>
      </c>
      <c r="B14">
        <v>13</v>
      </c>
      <c r="C14">
        <v>24</v>
      </c>
      <c r="D14" s="4" t="s">
        <v>123</v>
      </c>
    </row>
    <row r="15" spans="1:4">
      <c r="A15" t="s">
        <v>124</v>
      </c>
      <c r="B15">
        <v>14</v>
      </c>
      <c r="C15">
        <v>26</v>
      </c>
      <c r="D15" s="4" t="s">
        <v>125</v>
      </c>
    </row>
    <row r="16" spans="1:4">
      <c r="A16" t="s">
        <v>16</v>
      </c>
      <c r="B16">
        <v>15</v>
      </c>
      <c r="C16">
        <v>28</v>
      </c>
      <c r="D16" s="4" t="s">
        <v>126</v>
      </c>
    </row>
    <row r="17" spans="1:4">
      <c r="A17" t="s">
        <v>17</v>
      </c>
      <c r="B17">
        <v>16</v>
      </c>
      <c r="C17">
        <v>30</v>
      </c>
      <c r="D17" s="4" t="s">
        <v>127</v>
      </c>
    </row>
    <row r="18" spans="1:4">
      <c r="A18" t="s">
        <v>18</v>
      </c>
      <c r="B18">
        <v>17</v>
      </c>
      <c r="C18">
        <v>32</v>
      </c>
      <c r="D18" s="4" t="s">
        <v>128</v>
      </c>
    </row>
    <row r="19" spans="1:4">
      <c r="A19" s="2" t="s">
        <v>19</v>
      </c>
      <c r="B19" s="2">
        <v>18</v>
      </c>
      <c r="C19" s="2">
        <v>34</v>
      </c>
      <c r="D19" s="7" t="s">
        <v>129</v>
      </c>
    </row>
    <row r="20" spans="1:4">
      <c r="A20" t="s">
        <v>130</v>
      </c>
      <c r="B20">
        <v>19</v>
      </c>
      <c r="C20">
        <v>36</v>
      </c>
      <c r="D20" s="4" t="s">
        <v>131</v>
      </c>
    </row>
    <row r="21" spans="1:4">
      <c r="A21" t="s">
        <v>132</v>
      </c>
      <c r="B21">
        <v>19</v>
      </c>
      <c r="C21">
        <v>38</v>
      </c>
      <c r="D21" s="4" t="s">
        <v>133</v>
      </c>
    </row>
    <row r="22" spans="1:4">
      <c r="A22" t="s">
        <v>134</v>
      </c>
      <c r="B22">
        <v>19</v>
      </c>
      <c r="C22">
        <v>40</v>
      </c>
      <c r="D22" s="4" t="s">
        <v>135</v>
      </c>
    </row>
    <row r="23" spans="1:4">
      <c r="A23" t="s">
        <v>136</v>
      </c>
      <c r="B23">
        <v>19</v>
      </c>
      <c r="C23">
        <v>42</v>
      </c>
      <c r="D23" s="4" t="s">
        <v>137</v>
      </c>
    </row>
    <row r="24" spans="1:4">
      <c r="A24" t="s">
        <v>138</v>
      </c>
      <c r="B24">
        <v>19</v>
      </c>
      <c r="C24">
        <v>44</v>
      </c>
      <c r="D24" s="4" t="s">
        <v>139</v>
      </c>
    </row>
    <row r="25" spans="1:4">
      <c r="A25" t="s">
        <v>140</v>
      </c>
      <c r="B25">
        <v>19</v>
      </c>
      <c r="C25">
        <v>46</v>
      </c>
      <c r="D25" s="4" t="s">
        <v>141</v>
      </c>
    </row>
    <row r="26" spans="1:4">
      <c r="A26" t="s">
        <v>142</v>
      </c>
      <c r="B26">
        <v>19</v>
      </c>
      <c r="C26">
        <v>48</v>
      </c>
      <c r="D26" s="4" t="s">
        <v>143</v>
      </c>
    </row>
    <row r="27" spans="1:4">
      <c r="A27" t="s">
        <v>144</v>
      </c>
      <c r="B27">
        <v>19</v>
      </c>
      <c r="C27">
        <v>50</v>
      </c>
      <c r="D27" s="4" t="s">
        <v>145</v>
      </c>
    </row>
    <row r="28" spans="1:4">
      <c r="A28" t="s">
        <v>146</v>
      </c>
      <c r="B28">
        <v>19</v>
      </c>
      <c r="C28">
        <v>52</v>
      </c>
      <c r="D28" s="4" t="s">
        <v>147</v>
      </c>
    </row>
    <row r="29" spans="1:4">
      <c r="A29" t="s">
        <v>148</v>
      </c>
      <c r="B29">
        <v>19</v>
      </c>
      <c r="C29">
        <v>54</v>
      </c>
      <c r="D29" s="4" t="s">
        <v>149</v>
      </c>
    </row>
    <row r="30" spans="1:4">
      <c r="A30" t="s">
        <v>150</v>
      </c>
      <c r="B30">
        <v>19</v>
      </c>
      <c r="C30">
        <v>56</v>
      </c>
      <c r="D30" s="4" t="s">
        <v>151</v>
      </c>
    </row>
    <row r="31" spans="1:4">
      <c r="A31" t="s">
        <v>152</v>
      </c>
      <c r="B31">
        <v>19</v>
      </c>
      <c r="C31">
        <v>58</v>
      </c>
      <c r="D31" s="4" t="s">
        <v>153</v>
      </c>
    </row>
    <row r="32" spans="1:4">
      <c r="A32" t="s">
        <v>154</v>
      </c>
      <c r="B32">
        <v>19</v>
      </c>
      <c r="C32">
        <v>60</v>
      </c>
      <c r="D32" s="4" t="s">
        <v>155</v>
      </c>
    </row>
    <row r="33" spans="1:4">
      <c r="A33" t="s">
        <v>156</v>
      </c>
      <c r="B33">
        <v>19</v>
      </c>
      <c r="C33">
        <v>62</v>
      </c>
      <c r="D33" s="4" t="s">
        <v>157</v>
      </c>
    </row>
    <row r="34" spans="1:4">
      <c r="A34" t="s">
        <v>158</v>
      </c>
      <c r="B34">
        <v>19</v>
      </c>
      <c r="C34">
        <v>64</v>
      </c>
      <c r="D34" s="4" t="s">
        <v>159</v>
      </c>
    </row>
    <row r="35" spans="1:4">
      <c r="A35" t="s">
        <v>160</v>
      </c>
      <c r="B35">
        <v>19</v>
      </c>
      <c r="C35">
        <v>66</v>
      </c>
      <c r="D35" s="4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5463-B223-4B9A-92EA-670EA388F1D9}">
  <dimension ref="A1:A8"/>
  <sheetViews>
    <sheetView workbookViewId="0">
      <selection activeCell="A8" sqref="A8"/>
    </sheetView>
  </sheetViews>
  <sheetFormatPr defaultRowHeight="15"/>
  <sheetData>
    <row r="1" spans="1:1">
      <c r="A1">
        <v>16</v>
      </c>
    </row>
    <row r="2" spans="1:1">
      <c r="A2">
        <v>42</v>
      </c>
    </row>
    <row r="3" spans="1:1">
      <c r="A3">
        <v>19</v>
      </c>
    </row>
    <row r="4" spans="1:1">
      <c r="A4">
        <v>12</v>
      </c>
    </row>
    <row r="5" spans="1:1">
      <c r="A5">
        <v>18</v>
      </c>
    </row>
    <row r="6" spans="1:1">
      <c r="A6">
        <v>26</v>
      </c>
    </row>
    <row r="8" spans="1:1">
      <c r="A8">
        <f>SUM(A1:A6)</f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Pascal Lambert</cp:lastModifiedBy>
  <cp:revision/>
  <dcterms:created xsi:type="dcterms:W3CDTF">2026-01-31T17:04:43Z</dcterms:created>
  <dcterms:modified xsi:type="dcterms:W3CDTF">2026-01-31T19:11:57Z</dcterms:modified>
  <cp:category/>
  <cp:contentStatus/>
</cp:coreProperties>
</file>